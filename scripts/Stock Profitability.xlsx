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ree\Downloads\"/>
    </mc:Choice>
  </mc:AlternateContent>
  <xr:revisionPtr revIDLastSave="0" documentId="8_{62ADE956-6108-409A-86DD-E8D86812BC1F}" xr6:coauthVersionLast="46" xr6:coauthVersionMax="46" xr10:uidLastSave="{00000000-0000-0000-0000-000000000000}"/>
  <bookViews>
    <workbookView xWindow="15810" yWindow="1320" windowWidth="12780" windowHeight="11385" xr2:uid="{20465709-8622-45E1-96F0-A1F65548C95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E3" i="1"/>
  <c r="C3" i="1"/>
  <c r="C4" i="1" s="1"/>
  <c r="C5" i="1" s="1"/>
  <c r="C6" i="1" s="1"/>
  <c r="C7" i="1" s="1"/>
  <c r="C8" i="1" s="1"/>
  <c r="D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C9" i="1" l="1"/>
  <c r="C10" i="1" s="1"/>
  <c r="C11" i="1" s="1"/>
  <c r="C12" i="1" s="1"/>
  <c r="C13" i="1" s="1"/>
  <c r="C14" i="1" s="1"/>
  <c r="C15" i="1" s="1"/>
  <c r="C16" i="1" s="1"/>
  <c r="D4" i="1"/>
  <c r="D5" i="1" s="1"/>
  <c r="D6" i="1" s="1"/>
  <c r="D7" i="1" s="1"/>
  <c r="D8" i="1" s="1"/>
  <c r="D9" i="1" s="1"/>
  <c r="D10" i="1" l="1"/>
  <c r="D11" i="1" s="1"/>
  <c r="D12" i="1" s="1"/>
  <c r="D13" i="1" s="1"/>
  <c r="D14" i="1" s="1"/>
  <c r="D15" i="1" s="1"/>
  <c r="D16" i="1" s="1"/>
  <c r="D18" i="1" l="1"/>
  <c r="D19" i="1" l="1"/>
  <c r="D20" i="1"/>
  <c r="E5" i="1" s="1"/>
</calcChain>
</file>

<file path=xl/sharedStrings.xml><?xml version="1.0" encoding="utf-8"?>
<sst xmlns="http://schemas.openxmlformats.org/spreadsheetml/2006/main" count="65" uniqueCount="64">
  <si>
    <t>Company</t>
  </si>
  <si>
    <t>Current Market Cap Bond Rate Growth</t>
  </si>
  <si>
    <t>Expected Growth Rate</t>
  </si>
  <si>
    <t>Operating Profit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</si>
  <si>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</si>
  <si>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</si>
  <si>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</si>
  <si>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</si>
  <si>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</si>
  <si>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</si>
  <si>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</si>
  <si>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</si>
  <si>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</si>
  <si>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</si>
  <si>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</si>
  <si>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</si>
  <si>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</si>
  <si>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</si>
  <si>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</si>
  <si>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Total Operating Profit Generated in the Years</t>
  </si>
  <si>
    <t>PI Industries</t>
  </si>
  <si>
    <t>Pidilite Industries</t>
  </si>
  <si>
    <t>Vinati Organics</t>
  </si>
  <si>
    <t>Deepak Nitrite</t>
  </si>
  <si>
    <t>Aarti Industries</t>
  </si>
  <si>
    <t>Atul</t>
  </si>
  <si>
    <t>Escorts</t>
  </si>
  <si>
    <t>Heidelberg</t>
  </si>
  <si>
    <t>Whirlpool</t>
  </si>
  <si>
    <t>Titan Company</t>
  </si>
  <si>
    <t>Indraprastha Gas</t>
  </si>
  <si>
    <t>Relaxo</t>
  </si>
  <si>
    <t>Tube Investments</t>
  </si>
  <si>
    <t>Asian Paints</t>
  </si>
  <si>
    <t>Berger Paints</t>
  </si>
  <si>
    <t>IRCTC</t>
  </si>
  <si>
    <t>SRF</t>
  </si>
  <si>
    <t>Polycab India</t>
  </si>
  <si>
    <t>Bajaj Finance</t>
  </si>
  <si>
    <t>Bajaj Finserv</t>
  </si>
  <si>
    <t>Muthoot</t>
  </si>
  <si>
    <t>HDFC Bank</t>
  </si>
  <si>
    <t>Kotak Mahindra</t>
  </si>
  <si>
    <t>Coforge</t>
  </si>
  <si>
    <t>Tata Elxsi</t>
  </si>
  <si>
    <t>Affle </t>
  </si>
  <si>
    <t>Jubilant</t>
  </si>
  <si>
    <t>Bombay Burmah</t>
  </si>
  <si>
    <t>Tata Consumer</t>
  </si>
  <si>
    <t>Hindustan Unilever</t>
  </si>
  <si>
    <t>Nestle</t>
  </si>
  <si>
    <t>Trent</t>
  </si>
  <si>
    <t>Avenue</t>
  </si>
  <si>
    <t>ICICI Lombard</t>
  </si>
  <si>
    <t>Market Cap</t>
  </si>
  <si>
    <t>Growth Rate</t>
  </si>
  <si>
    <t>P/L</t>
  </si>
  <si>
    <t>Viable Market Cap</t>
  </si>
  <si>
    <t>Old Price</t>
  </si>
  <si>
    <t>Old Mcap</t>
  </si>
  <si>
    <t>Old PE</t>
  </si>
  <si>
    <t>Invest Yes/No</t>
  </si>
  <si>
    <t>Profit</t>
  </si>
  <si>
    <t>Cushion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</si>
</sst>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AD4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0" fillId="0" borderId="0" xfId="0" applyNumberFormat="1"/>
    <xf numFmtId="3" fontId="4" fillId="0" borderId="0" xfId="0" applyNumberFormat="1" applyFont="1"/>
    <xf numFmtId="1" fontId="0" fillId="0" borderId="0" xfId="0" applyNumberFormat="1"/>
    <xf numFmtId="3" fontId="5" fillId="2" borderId="0" xfId="0" applyNumberFormat="1" applyFont="1" applyFill="1" applyAlignment="1">
      <alignment horizontal="right" vertical="center" wrapText="1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61FB-3817-4DBF-A5DF-971C2B5CCE30}">
  <dimension ref="A1:E21"/>
  <sheetViews>
    <sheetView tabSelected="1" workbookViewId="0">
      <selection activeCell="D19" sqref="D19"/>
    </sheetView>
  </sheetViews>
  <sheetFormatPr defaultRowHeight="15" x14ac:dyDescent="0.25"/>
  <cols>
    <col min="2" max="2" width="34.85546875" customWidth="1"/>
    <col min="3" max="3" width="21" customWidth="1"/>
    <col min="4" max="4" width="1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s="8">
        <v>822120</v>
      </c>
      <c r="C2" s="11">
        <v>21</v>
      </c>
      <c r="D2" s="10">
        <v>24793</v>
      </c>
      <c r="E2" s="11">
        <v>88.8</v>
      </c>
    </row>
    <row r="3" spans="1:5" x14ac:dyDescent="0.25">
      <c r="A3" t="s">
        <v>5</v>
      </c>
      <c r="B3">
        <f>B2*1.06</f>
        <v>871447.20000000007</v>
      </c>
      <c r="C3">
        <f>C2</f>
        <v>21</v>
      </c>
      <c r="D3" s="1">
        <f>IF(C2,D2*(1+(C2/100)),0)</f>
        <v>29999.53</v>
      </c>
      <c r="E3">
        <f>B2/E2</f>
        <v>9258.1081081081084</v>
      </c>
    </row>
    <row r="4" spans="1:5" x14ac:dyDescent="0.25">
      <c r="A4" t="s">
        <v>6</v>
      </c>
      <c r="B4">
        <f t="shared" ref="B4:B16" si="0">B3*1.06</f>
        <v>923734.03200000012</v>
      </c>
      <c r="C4">
        <f>C3</f>
        <v>21</v>
      </c>
      <c r="D4" s="1">
        <f t="shared" ref="D4:D16" si="1">IF(C3,D3*(1+(C3/100)),0)</f>
        <v>36299.431299999997</v>
      </c>
    </row>
    <row r="5" spans="1:5" x14ac:dyDescent="0.25">
      <c r="A5" t="s">
        <v>7</v>
      </c>
      <c r="B5">
        <f t="shared" si="0"/>
        <v>979158.07392000023</v>
      </c>
      <c r="C5">
        <f>C4</f>
        <v>21</v>
      </c>
      <c r="D5" s="1">
        <f t="shared" si="1"/>
        <v>43922.311872999991</v>
      </c>
      <c r="E5">
        <f>E3*D20/1.2</f>
        <v>14427.218468468471</v>
      </c>
    </row>
    <row r="6" spans="1:5" x14ac:dyDescent="0.25">
      <c r="A6" t="s">
        <v>8</v>
      </c>
      <c r="B6">
        <f t="shared" si="0"/>
        <v>1037907.5583552003</v>
      </c>
      <c r="C6">
        <f>C5</f>
        <v>21</v>
      </c>
      <c r="D6" s="1">
        <f t="shared" si="1"/>
        <v>53145.99736632999</v>
      </c>
    </row>
    <row r="7" spans="1:5" x14ac:dyDescent="0.25">
      <c r="A7" t="s">
        <v>9</v>
      </c>
      <c r="B7">
        <f t="shared" si="0"/>
        <v>1100182.0118565124</v>
      </c>
      <c r="C7">
        <f>C6</f>
        <v>21</v>
      </c>
      <c r="D7" s="1">
        <f t="shared" si="1"/>
        <v>64306.656813259287</v>
      </c>
    </row>
    <row r="8" spans="1:5" x14ac:dyDescent="0.25">
      <c r="A8" t="s">
        <v>10</v>
      </c>
      <c r="B8">
        <f t="shared" si="0"/>
        <v>1166192.9325679033</v>
      </c>
      <c r="C8">
        <f>C7</f>
        <v>21</v>
      </c>
      <c r="D8" s="1">
        <f t="shared" si="1"/>
        <v>77811.054744043737</v>
      </c>
    </row>
    <row r="9" spans="1:5" x14ac:dyDescent="0.25">
      <c r="A9" t="s">
        <v>11</v>
      </c>
      <c r="B9">
        <f t="shared" si="0"/>
        <v>1236164.5085219776</v>
      </c>
      <c r="C9">
        <f>C8</f>
        <v>21</v>
      </c>
      <c r="D9" s="1">
        <f t="shared" si="1"/>
        <v>94151.376240292913</v>
      </c>
    </row>
    <row r="10" spans="1:5" x14ac:dyDescent="0.25">
      <c r="A10" t="s">
        <v>12</v>
      </c>
      <c r="B10">
        <f t="shared" si="0"/>
        <v>1310334.3790332964</v>
      </c>
      <c r="C10">
        <f>C9</f>
        <v>21</v>
      </c>
      <c r="D10" s="1">
        <f t="shared" si="1"/>
        <v>113923.16525075442</v>
      </c>
    </row>
    <row r="11" spans="1:5" x14ac:dyDescent="0.25">
      <c r="A11" t="s">
        <v>13</v>
      </c>
      <c r="B11">
        <f t="shared" si="0"/>
        <v>1388954.4417752943</v>
      </c>
      <c r="C11">
        <f>C10</f>
        <v>21</v>
      </c>
      <c r="D11" s="1">
        <f t="shared" si="1"/>
        <v>137847.02995341286</v>
      </c>
    </row>
    <row r="12" spans="1:5" x14ac:dyDescent="0.25">
      <c r="A12" t="s">
        <v>14</v>
      </c>
      <c r="B12">
        <f t="shared" si="0"/>
        <v>1472291.708281812</v>
      </c>
      <c r="C12">
        <f>C11</f>
        <v>21</v>
      </c>
      <c r="D12" s="1">
        <f t="shared" si="1"/>
        <v>166794.90624362955</v>
      </c>
    </row>
    <row r="13" spans="1:5" x14ac:dyDescent="0.25">
      <c r="A13" t="s">
        <v>15</v>
      </c>
      <c r="B13">
        <f t="shared" si="0"/>
        <v>1560629.2107787209</v>
      </c>
      <c r="C13">
        <f>C12</f>
        <v>21</v>
      </c>
      <c r="D13" s="1">
        <f t="shared" si="1"/>
        <v>201821.83655479175</v>
      </c>
    </row>
    <row r="14" spans="1:5" x14ac:dyDescent="0.25">
      <c r="A14" t="s">
        <v>16</v>
      </c>
      <c r="B14">
        <f t="shared" si="0"/>
        <v>1654266.9634254442</v>
      </c>
      <c r="C14">
        <f>C13</f>
        <v>21</v>
      </c>
      <c r="D14" s="1">
        <f t="shared" si="1"/>
        <v>244204.422231298</v>
      </c>
    </row>
    <row r="15" spans="1:5" x14ac:dyDescent="0.25">
      <c r="A15" t="s">
        <v>17</v>
      </c>
      <c r="B15">
        <f t="shared" si="0"/>
        <v>1753522.9812309709</v>
      </c>
      <c r="C15">
        <f>C14</f>
        <v>21</v>
      </c>
      <c r="D15" s="1">
        <f t="shared" si="1"/>
        <v>295487.35089987057</v>
      </c>
    </row>
    <row r="16" spans="1:5" x14ac:dyDescent="0.25">
      <c r="A16" t="s">
        <v>18</v>
      </c>
      <c r="B16">
        <f t="shared" si="0"/>
        <v>1858734.3601048293</v>
      </c>
      <c r="C16">
        <f>C15</f>
        <v>21</v>
      </c>
      <c r="D16" s="1">
        <f t="shared" si="1"/>
        <v>357539.69458884338</v>
      </c>
    </row>
    <row r="17" spans="1:4" x14ac:dyDescent="0.25">
      <c r="A17" t="s">
        <v>62</v>
      </c>
      <c r="B17" s="7">
        <f>B16-B2</f>
        <v>1036614.3601048293</v>
      </c>
    </row>
    <row r="18" spans="1:4" x14ac:dyDescent="0.25">
      <c r="A18" t="s">
        <v>19</v>
      </c>
      <c r="D18" s="9">
        <f>SUM(D2:D16)</f>
        <v>1942047.7640595264</v>
      </c>
    </row>
    <row r="19" spans="1:4" x14ac:dyDescent="0.25">
      <c r="C19" t="s">
        <v>61</v>
      </c>
      <c r="D19" t="str">
        <f>IF(D18&gt;B17*1.2,"Yes","No")</f>
        <v>Yes</v>
      </c>
    </row>
    <row r="20" spans="1:4" x14ac:dyDescent="0.25">
      <c r="C20" t="s">
        <v>63</v>
      </c>
      <c r="D20">
        <f>ROUND(D18/B17,2)</f>
        <v>1.87</v>
      </c>
    </row>
    <row r="21" spans="1:4" x14ac:dyDescent="0.25">
      <c r="D21">
        <f>79.3081816771*D2*((1+C2/100)^15-1)/(C2*B2)</f>
        <v>1.8734524996063679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8816-6D54-4468-943B-4E4D8A82CCEB}">
  <dimension ref="A1:AQ35"/>
  <sheetViews>
    <sheetView workbookViewId="0">
      <pane ySplit="1" topLeftCell="A17" activePane="bottomLeft" state="frozen"/>
      <selection pane="bottomLeft" activeCell="E23" sqref="E23"/>
    </sheetView>
  </sheetViews>
  <sheetFormatPr defaultRowHeight="15" x14ac:dyDescent="0.25"/>
  <sheetData>
    <row r="1" spans="1:43" ht="45.75" thickBot="1" x14ac:dyDescent="0.3">
      <c r="B1" s="2" t="s">
        <v>54</v>
      </c>
      <c r="C1" s="2" t="s">
        <v>55</v>
      </c>
      <c r="D1" s="2" t="s">
        <v>3</v>
      </c>
      <c r="E1" s="3" t="s">
        <v>56</v>
      </c>
      <c r="F1" s="2" t="s">
        <v>57</v>
      </c>
      <c r="G1" s="4" t="s">
        <v>58</v>
      </c>
      <c r="H1" s="4" t="s">
        <v>59</v>
      </c>
      <c r="I1" s="4" t="s">
        <v>60</v>
      </c>
      <c r="J1" s="4"/>
      <c r="K1" s="4"/>
      <c r="L1" s="4"/>
      <c r="M1" s="5"/>
      <c r="N1" s="4"/>
      <c r="O1" s="4"/>
      <c r="P1" s="5"/>
      <c r="Q1" s="4"/>
      <c r="R1" s="4"/>
      <c r="S1" s="4"/>
      <c r="T1" s="5"/>
      <c r="U1" s="4"/>
      <c r="V1" s="5"/>
      <c r="W1" s="4"/>
      <c r="X1" s="4"/>
      <c r="Y1" s="5"/>
      <c r="Z1" s="4"/>
      <c r="AA1" s="5"/>
      <c r="AB1" s="4"/>
      <c r="AC1" s="5"/>
      <c r="AD1" s="4"/>
      <c r="AE1" s="5"/>
      <c r="AF1" s="4"/>
      <c r="AG1" s="4"/>
      <c r="AH1" s="4"/>
      <c r="AI1" s="6"/>
      <c r="AJ1" s="4"/>
      <c r="AK1" s="4"/>
      <c r="AL1" s="4"/>
      <c r="AM1" s="4"/>
      <c r="AN1" s="4"/>
      <c r="AO1" s="4"/>
      <c r="AP1" s="4"/>
      <c r="AQ1" s="4"/>
    </row>
    <row r="2" spans="1:43" ht="45.75" thickBot="1" x14ac:dyDescent="0.3">
      <c r="A2" s="2" t="s">
        <v>20</v>
      </c>
      <c r="G2" s="4">
        <v>2208</v>
      </c>
      <c r="H2" s="4">
        <v>33504</v>
      </c>
      <c r="I2" s="4">
        <v>56.3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ht="45.75" thickBot="1" x14ac:dyDescent="0.3">
      <c r="A3" s="2" t="s">
        <v>21</v>
      </c>
      <c r="G3" s="4">
        <v>1543</v>
      </c>
      <c r="H3" s="4">
        <v>78382</v>
      </c>
      <c r="I3" s="4">
        <v>87.5</v>
      </c>
    </row>
    <row r="4" spans="1:43" ht="30.75" thickBot="1" x14ac:dyDescent="0.3">
      <c r="A4" s="2" t="s">
        <v>22</v>
      </c>
      <c r="G4" s="4">
        <v>1178</v>
      </c>
      <c r="H4" s="4">
        <v>12106</v>
      </c>
      <c r="I4" s="4">
        <v>43.9</v>
      </c>
    </row>
    <row r="5" spans="1:43" ht="30.75" thickBot="1" x14ac:dyDescent="0.3">
      <c r="A5" s="3" t="s">
        <v>23</v>
      </c>
      <c r="G5" s="4">
        <v>865</v>
      </c>
      <c r="H5" s="4">
        <v>11799</v>
      </c>
      <c r="I5" s="5">
        <v>19.7</v>
      </c>
    </row>
    <row r="6" spans="1:43" ht="45.75" thickBot="1" x14ac:dyDescent="0.3">
      <c r="A6" s="2" t="s">
        <v>24</v>
      </c>
      <c r="G6" s="4">
        <v>1155</v>
      </c>
      <c r="H6" s="4">
        <v>20129</v>
      </c>
      <c r="I6" s="4">
        <v>42</v>
      </c>
    </row>
    <row r="7" spans="1:43" ht="15.75" thickBot="1" x14ac:dyDescent="0.3">
      <c r="A7" s="4" t="s">
        <v>25</v>
      </c>
      <c r="G7" s="4">
        <v>6310</v>
      </c>
      <c r="H7" s="4">
        <v>18716</v>
      </c>
      <c r="I7" s="4">
        <v>30.9</v>
      </c>
    </row>
    <row r="8" spans="1:43" ht="15.75" thickBot="1" x14ac:dyDescent="0.3">
      <c r="A8" s="2" t="s">
        <v>26</v>
      </c>
      <c r="G8" s="4">
        <v>1404</v>
      </c>
      <c r="H8" s="4">
        <v>18929</v>
      </c>
      <c r="I8" s="5">
        <v>31.4</v>
      </c>
    </row>
    <row r="9" spans="1:43" ht="30.75" thickBot="1" x14ac:dyDescent="0.3">
      <c r="A9" s="2" t="s">
        <v>27</v>
      </c>
      <c r="G9" s="4">
        <v>208</v>
      </c>
      <c r="H9" s="4">
        <v>4719</v>
      </c>
      <c r="I9" s="4">
        <v>19.5</v>
      </c>
    </row>
    <row r="10" spans="1:43" ht="30.75" thickBot="1" x14ac:dyDescent="0.3">
      <c r="A10" s="5" t="s">
        <v>28</v>
      </c>
      <c r="G10" s="4">
        <v>2183</v>
      </c>
      <c r="H10" s="4">
        <v>27700</v>
      </c>
      <c r="I10" s="4">
        <v>90.6</v>
      </c>
    </row>
    <row r="11" spans="1:43" ht="45.75" thickBot="1" x14ac:dyDescent="0.3">
      <c r="A11" s="3" t="s">
        <v>29</v>
      </c>
      <c r="G11" s="4">
        <v>1361</v>
      </c>
      <c r="H11" s="4">
        <v>120845</v>
      </c>
      <c r="I11" s="4">
        <v>174</v>
      </c>
    </row>
    <row r="12" spans="1:43" ht="30.75" thickBot="1" x14ac:dyDescent="0.3">
      <c r="A12" s="3" t="s">
        <v>30</v>
      </c>
      <c r="G12" s="4">
        <v>496</v>
      </c>
      <c r="H12" s="4">
        <v>34748</v>
      </c>
      <c r="I12" s="5">
        <v>34.6</v>
      </c>
    </row>
    <row r="13" spans="1:43" ht="15.75" thickBot="1" x14ac:dyDescent="0.3">
      <c r="A13" s="4" t="s">
        <v>31</v>
      </c>
      <c r="G13" s="4">
        <v>738</v>
      </c>
      <c r="H13" s="4">
        <v>18325</v>
      </c>
      <c r="I13" s="4">
        <v>89.3</v>
      </c>
    </row>
    <row r="14" spans="1:43" ht="45.75" thickBot="1" x14ac:dyDescent="0.3">
      <c r="A14" s="2" t="s">
        <v>32</v>
      </c>
      <c r="G14" s="4">
        <v>824</v>
      </c>
      <c r="H14" s="4">
        <v>15481</v>
      </c>
      <c r="I14" s="5">
        <v>78</v>
      </c>
    </row>
    <row r="15" spans="1:43" ht="30.75" thickBot="1" x14ac:dyDescent="0.3">
      <c r="A15" s="3" t="s">
        <v>33</v>
      </c>
      <c r="G15" s="4">
        <v>2215</v>
      </c>
      <c r="H15" s="4">
        <v>212491</v>
      </c>
      <c r="I15" s="4">
        <v>106</v>
      </c>
    </row>
    <row r="16" spans="1:43" ht="30.75" thickBot="1" x14ac:dyDescent="0.3">
      <c r="A16" s="2" t="s">
        <v>34</v>
      </c>
      <c r="G16" s="4">
        <v>713</v>
      </c>
      <c r="H16" s="4">
        <v>69233</v>
      </c>
      <c r="I16" s="4">
        <v>133</v>
      </c>
    </row>
    <row r="17" spans="1:9" ht="15.75" thickBot="1" x14ac:dyDescent="0.3">
      <c r="A17" s="5" t="s">
        <v>35</v>
      </c>
      <c r="G17" s="4">
        <v>1353</v>
      </c>
      <c r="H17" s="4">
        <v>21655</v>
      </c>
      <c r="I17" s="5">
        <v>64.7</v>
      </c>
    </row>
    <row r="18" spans="1:9" ht="15.75" thickBot="1" x14ac:dyDescent="0.3">
      <c r="A18" s="5" t="s">
        <v>36</v>
      </c>
      <c r="G18" s="4">
        <v>5134</v>
      </c>
      <c r="H18" s="4">
        <v>30414</v>
      </c>
      <c r="I18" s="4">
        <v>29.8</v>
      </c>
    </row>
    <row r="19" spans="1:9" ht="30.75" thickBot="1" x14ac:dyDescent="0.3">
      <c r="A19" s="2" t="s">
        <v>37</v>
      </c>
      <c r="G19" s="4">
        <v>958</v>
      </c>
      <c r="H19" s="4">
        <v>14286</v>
      </c>
      <c r="I19" s="5">
        <v>18.600000000000001</v>
      </c>
    </row>
    <row r="20" spans="1:9" ht="30.75" thickBot="1" x14ac:dyDescent="0.3">
      <c r="A20" s="5" t="s">
        <v>38</v>
      </c>
      <c r="G20" s="4">
        <v>4909</v>
      </c>
      <c r="H20" s="4">
        <v>295798</v>
      </c>
      <c r="I20" s="4">
        <v>65.900000000000006</v>
      </c>
    </row>
    <row r="21" spans="1:9" ht="30.75" thickBot="1" x14ac:dyDescent="0.3">
      <c r="A21" s="2" t="s">
        <v>39</v>
      </c>
      <c r="G21" s="4">
        <v>8759</v>
      </c>
      <c r="H21" s="4">
        <v>139385</v>
      </c>
      <c r="I21" s="5">
        <v>23</v>
      </c>
    </row>
    <row r="22" spans="1:9" ht="15.75" thickBot="1" x14ac:dyDescent="0.3">
      <c r="A22" s="2" t="s">
        <v>40</v>
      </c>
      <c r="G22" s="4">
        <v>1183</v>
      </c>
      <c r="H22" s="4">
        <v>47455</v>
      </c>
      <c r="I22" s="4">
        <v>13.6</v>
      </c>
    </row>
    <row r="23" spans="1:9" ht="30.75" thickBot="1" x14ac:dyDescent="0.3">
      <c r="A23" s="5" t="s">
        <v>41</v>
      </c>
      <c r="B23" s="8">
        <v>822120</v>
      </c>
      <c r="C23">
        <v>21</v>
      </c>
      <c r="D23">
        <v>14.5</v>
      </c>
      <c r="G23" s="4">
        <v>1441</v>
      </c>
      <c r="H23" s="4">
        <v>793419</v>
      </c>
      <c r="I23" s="5">
        <v>26.8</v>
      </c>
    </row>
    <row r="24" spans="1:9" ht="45.75" thickBot="1" x14ac:dyDescent="0.3">
      <c r="A24" s="2" t="s">
        <v>42</v>
      </c>
      <c r="G24" s="4">
        <v>1907</v>
      </c>
      <c r="H24" s="4">
        <v>377565</v>
      </c>
      <c r="I24" s="4">
        <v>38.1</v>
      </c>
    </row>
    <row r="25" spans="1:9" ht="15.75" thickBot="1" x14ac:dyDescent="0.3">
      <c r="A25" s="2" t="s">
        <v>43</v>
      </c>
      <c r="G25" s="4">
        <v>2401</v>
      </c>
      <c r="H25" s="4">
        <v>14542</v>
      </c>
      <c r="I25" s="4">
        <v>30.3</v>
      </c>
    </row>
    <row r="26" spans="1:9" ht="15.75" thickBot="1" x14ac:dyDescent="0.3">
      <c r="A26" s="2" t="s">
        <v>44</v>
      </c>
      <c r="G26" s="4">
        <v>1651</v>
      </c>
      <c r="H26" s="4">
        <v>10283</v>
      </c>
      <c r="I26" s="4">
        <v>33.700000000000003</v>
      </c>
    </row>
    <row r="27" spans="1:9" ht="15.75" thickBot="1" x14ac:dyDescent="0.3">
      <c r="A27" s="4" t="s">
        <v>45</v>
      </c>
      <c r="G27" s="4">
        <v>3418</v>
      </c>
      <c r="H27" s="4">
        <v>8716</v>
      </c>
      <c r="I27" s="6">
        <v>106</v>
      </c>
    </row>
    <row r="28" spans="1:9" ht="15.75" thickBot="1" x14ac:dyDescent="0.3">
      <c r="A28" s="5" t="s">
        <v>46</v>
      </c>
      <c r="G28" s="4">
        <v>2501</v>
      </c>
      <c r="H28" s="4">
        <v>33003</v>
      </c>
      <c r="I28" s="4">
        <v>230</v>
      </c>
    </row>
    <row r="29" spans="1:9" ht="30.75" thickBot="1" x14ac:dyDescent="0.3">
      <c r="A29" s="2" t="s">
        <v>47</v>
      </c>
      <c r="G29" s="4">
        <v>1320</v>
      </c>
      <c r="H29" s="4">
        <v>9208</v>
      </c>
      <c r="I29" s="4">
        <v>6.54</v>
      </c>
    </row>
    <row r="30" spans="1:9" ht="45.75" thickBot="1" x14ac:dyDescent="0.3">
      <c r="A30" s="2" t="s">
        <v>48</v>
      </c>
      <c r="G30" s="4">
        <v>538</v>
      </c>
      <c r="H30" s="4">
        <v>49579</v>
      </c>
      <c r="I30" s="4">
        <v>56.3</v>
      </c>
    </row>
    <row r="31" spans="1:9" ht="45.75" thickBot="1" x14ac:dyDescent="0.3">
      <c r="A31" s="3" t="s">
        <v>49</v>
      </c>
      <c r="G31" s="4">
        <v>2138</v>
      </c>
      <c r="H31" s="4">
        <v>502382</v>
      </c>
      <c r="I31" s="4">
        <v>69</v>
      </c>
    </row>
    <row r="32" spans="1:9" ht="15.75" thickBot="1" x14ac:dyDescent="0.3">
      <c r="A32" s="2" t="s">
        <v>50</v>
      </c>
      <c r="G32" s="4">
        <v>18554</v>
      </c>
      <c r="H32" s="4">
        <v>178885</v>
      </c>
      <c r="I32" s="4">
        <v>86.3</v>
      </c>
    </row>
    <row r="33" spans="1:9" ht="15.75" thickBot="1" x14ac:dyDescent="0.3">
      <c r="A33" s="4" t="s">
        <v>51</v>
      </c>
      <c r="G33" s="4">
        <v>720</v>
      </c>
      <c r="H33" s="4">
        <v>25606</v>
      </c>
      <c r="I33" s="4"/>
    </row>
    <row r="34" spans="1:9" ht="15.75" thickBot="1" x14ac:dyDescent="0.3">
      <c r="A34" s="5" t="s">
        <v>52</v>
      </c>
      <c r="G34" s="4">
        <v>2289</v>
      </c>
      <c r="H34" s="4">
        <v>148289</v>
      </c>
      <c r="I34" s="4">
        <v>166</v>
      </c>
    </row>
    <row r="35" spans="1:9" ht="30.75" thickBot="1" x14ac:dyDescent="0.3">
      <c r="A35" s="2" t="s">
        <v>53</v>
      </c>
      <c r="G35" s="4">
        <v>1458</v>
      </c>
      <c r="H35" s="4">
        <v>66260</v>
      </c>
      <c r="I35" s="4">
        <v>47.7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Sreenath Vemula</dc:creator>
  <cp:lastModifiedBy>Sreenath Vemula</cp:lastModifiedBy>
  <dcterms:created xsi:type="dcterms:W3CDTF">2021-03-29T05:21:36Z</dcterms:created>
  <dcterms:modified xsi:type="dcterms:W3CDTF">2021-03-29T08:32:48Z</dcterms:modified>
</cp:coreProperties>
</file>